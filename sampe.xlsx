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20.20\Share\RAKSHIT\"/>
    </mc:Choice>
  </mc:AlternateContent>
  <xr:revisionPtr revIDLastSave="0" documentId="8_{43BEDD1B-0224-4FE3-9C62-33DA0541412C}" xr6:coauthVersionLast="47" xr6:coauthVersionMax="47" xr10:uidLastSave="{00000000-0000-0000-0000-000000000000}"/>
  <bookViews>
    <workbookView xWindow="-120" yWindow="-120" windowWidth="29040" windowHeight="15840" xr2:uid="{93DADDA5-C02B-4D02-A018-348DAB2D34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1" l="1"/>
  <c r="J4" i="1"/>
  <c r="J3" i="1"/>
</calcChain>
</file>

<file path=xl/sharedStrings.xml><?xml version="1.0" encoding="utf-8"?>
<sst xmlns="http://schemas.openxmlformats.org/spreadsheetml/2006/main" count="26" uniqueCount="23">
  <si>
    <t>SCRIP</t>
  </si>
  <si>
    <t>EXCHANGE</t>
  </si>
  <si>
    <t>Scrip Name</t>
  </si>
  <si>
    <t>Expiry Date</t>
  </si>
  <si>
    <t>CALLPUT</t>
  </si>
  <si>
    <t>STRIKE</t>
  </si>
  <si>
    <t>BF QTY</t>
  </si>
  <si>
    <t>Net Qty</t>
  </si>
  <si>
    <t>Average Rate</t>
  </si>
  <si>
    <t>LTP</t>
  </si>
  <si>
    <t>MTM</t>
  </si>
  <si>
    <t>IntraDay Mtm</t>
  </si>
  <si>
    <t>Exchange Delta</t>
  </si>
  <si>
    <t>Day Bought Qty</t>
  </si>
  <si>
    <t>Day Sold Qty</t>
  </si>
  <si>
    <t>ELECMBL-NCX</t>
  </si>
  <si>
    <t>K</t>
  </si>
  <si>
    <t>ELECMBL</t>
  </si>
  <si>
    <t>ELECDMBL-MCX</t>
  </si>
  <si>
    <t>M</t>
  </si>
  <si>
    <t>ELECDMBL</t>
  </si>
  <si>
    <t>Buy Qty</t>
  </si>
  <si>
    <t>Sell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</si>
</sst>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3ADD9-EA3E-4782-8189-1A5AF0E75ACF}">
  <dimension ref="A1:Q4"/>
  <sheetViews>
    <sheetView tabSelected="1" workbookViewId="0">
      <selection activeCell="K3" sqref="A1:Q4"/>
    </sheetView>
  </sheetViews>
  <sheetFormatPr defaultRowHeight="15" x14ac:dyDescent="0.25"/>
  <cols>
    <col min="1" max="1" width="14.85546875" bestFit="1" customWidth="1"/>
    <col min="2" max="2" width="10.7109375" bestFit="1" customWidth="1"/>
    <col min="3" max="4" width="11" bestFit="1" customWidth="1"/>
    <col min="5" max="5" width="8.7109375" bestFit="1" customWidth="1"/>
    <col min="6" max="6" width="6.85546875" bestFit="1" customWidth="1"/>
    <col min="7" max="7" width="7.140625" bestFit="1" customWidth="1"/>
    <col min="8" max="9" width="7.140625" customWidth="1"/>
    <col min="10" max="10" width="7.85546875" bestFit="1" customWidth="1"/>
    <col min="11" max="11" width="12.7109375" bestFit="1" customWidth="1"/>
    <col min="12" max="12" width="5" bestFit="1" customWidth="1"/>
    <col min="13" max="13" width="8" bestFit="1" customWidth="1"/>
    <col min="14" max="14" width="13.28515625" bestFit="1" customWidth="1"/>
    <col min="15" max="15" width="14.5703125" bestFit="1" customWidth="1"/>
    <col min="16" max="16" width="14.7109375" bestFit="1" customWidth="1"/>
    <col min="17" max="17" width="12.1406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21</v>
      </c>
      <c r="I1" s="1" t="s">
        <v>22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x14ac:dyDescent="0.25">
      <c r="A2" s="2" t="s">
        <v>15</v>
      </c>
      <c r="B2" s="2" t="s">
        <v>16</v>
      </c>
      <c r="C2" s="2" t="s">
        <v>17</v>
      </c>
      <c r="D2" s="3">
        <v>46171</v>
      </c>
      <c r="E2" s="2"/>
      <c r="F2" s="2">
        <v>0</v>
      </c>
      <c r="G2" s="2">
        <v>-24</v>
      </c>
      <c r="H2" s="2"/>
      <c r="I2" s="2"/>
      <c r="J2" s="2">
        <f>G2+H2-I2</f>
        <v>-24</v>
      </c>
      <c r="K2" s="2">
        <v>3777</v>
      </c>
      <c r="L2" s="2">
        <v>3796</v>
      </c>
      <c r="M2" s="2">
        <v>-22800</v>
      </c>
      <c r="N2" s="2">
        <v>0</v>
      </c>
      <c r="O2" s="2">
        <v>0</v>
      </c>
      <c r="P2" s="2">
        <v>0</v>
      </c>
      <c r="Q2" s="2">
        <v>0</v>
      </c>
    </row>
    <row r="3" spans="1:17" x14ac:dyDescent="0.25">
      <c r="A3" s="2" t="s">
        <v>18</v>
      </c>
      <c r="B3" s="2" t="s">
        <v>19</v>
      </c>
      <c r="C3" s="2" t="s">
        <v>20</v>
      </c>
      <c r="D3" s="3">
        <v>46171</v>
      </c>
      <c r="E3" s="2"/>
      <c r="F3" s="2">
        <v>0</v>
      </c>
      <c r="G3" s="2">
        <v>123</v>
      </c>
      <c r="H3" s="2">
        <v>0</v>
      </c>
      <c r="I3" s="2">
        <v>16</v>
      </c>
      <c r="J3" s="2">
        <f t="shared" ref="J3:J4" si="0">G3+H3-I3</f>
        <v>107</v>
      </c>
      <c r="K3" s="2">
        <v>4624.7700000000004</v>
      </c>
      <c r="L3" s="2">
        <v>4627</v>
      </c>
      <c r="M3" s="2">
        <v>11930.5</v>
      </c>
      <c r="N3" s="2">
        <v>-350</v>
      </c>
      <c r="O3" s="2">
        <v>1</v>
      </c>
      <c r="P3" s="2">
        <v>49</v>
      </c>
      <c r="Q3" s="2">
        <v>65</v>
      </c>
    </row>
    <row r="4" spans="1:17" x14ac:dyDescent="0.25">
      <c r="A4" s="2" t="s">
        <v>18</v>
      </c>
      <c r="B4" s="2" t="s">
        <v>19</v>
      </c>
      <c r="C4" s="2" t="s">
        <v>20</v>
      </c>
      <c r="D4" s="3">
        <v>46202</v>
      </c>
      <c r="E4" s="2"/>
      <c r="F4" s="2">
        <v>0</v>
      </c>
      <c r="G4" s="2">
        <v>-43</v>
      </c>
      <c r="H4" s="2">
        <v>0</v>
      </c>
      <c r="I4" s="2">
        <v>7</v>
      </c>
      <c r="J4" s="2">
        <f t="shared" si="0"/>
        <v>-50</v>
      </c>
      <c r="K4" s="2">
        <v>4773.47</v>
      </c>
      <c r="L4" s="2">
        <v>4769</v>
      </c>
      <c r="M4" s="2">
        <v>8046</v>
      </c>
      <c r="N4" s="2">
        <v>3750</v>
      </c>
      <c r="O4" s="2">
        <v>1</v>
      </c>
      <c r="P4" s="2">
        <v>7</v>
      </c>
      <c r="Q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Satinder Paul</dc:creator>
  <cp:lastModifiedBy>Satinder Paul</cp:lastModifiedBy>
  <dcterms:created xsi:type="dcterms:W3CDTF">2026-05-19T07:55:38Z</dcterms:created>
  <dcterms:modified xsi:type="dcterms:W3CDTF">2026-05-19T07:56:56Z</dcterms:modified>
</cp:coreProperties>
</file>